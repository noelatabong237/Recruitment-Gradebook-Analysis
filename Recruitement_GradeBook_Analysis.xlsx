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183EFB-D889-4832-AA48-142B67FB0AC5}" xr6:coauthVersionLast="47" xr6:coauthVersionMax="47" xr10:uidLastSave="{00000000-0000-0000-0000-000000000000}"/>
  <bookViews>
    <workbookView xWindow="-96" yWindow="-96" windowWidth="23232" windowHeight="12552" xr2:uid="{AAB938A4-A7E2-42BE-B3C5-73B8284D0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F24" i="1"/>
  <c r="D22" i="1"/>
  <c r="E22" i="1"/>
  <c r="F22" i="1"/>
  <c r="D23" i="1"/>
  <c r="E23" i="1"/>
  <c r="F23" i="1"/>
  <c r="C24" i="1"/>
  <c r="C23" i="1"/>
  <c r="C22" i="1"/>
  <c r="M12" i="1"/>
  <c r="M13" i="1"/>
  <c r="M20" i="1"/>
  <c r="M4" i="1"/>
  <c r="K10" i="1"/>
  <c r="J4" i="1"/>
  <c r="K4" i="1"/>
  <c r="J5" i="1"/>
  <c r="K5" i="1"/>
  <c r="J6" i="1"/>
  <c r="K6" i="1"/>
  <c r="J7" i="1"/>
  <c r="K7" i="1"/>
  <c r="J8" i="1"/>
  <c r="K8" i="1"/>
  <c r="J9" i="1"/>
  <c r="K9" i="1"/>
  <c r="J10" i="1"/>
  <c r="J11" i="1"/>
  <c r="M11" i="1" s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M18" i="1" s="1"/>
  <c r="J19" i="1"/>
  <c r="M19" i="1" s="1"/>
  <c r="K19" i="1"/>
  <c r="J20" i="1"/>
  <c r="K20" i="1"/>
  <c r="I20" i="1"/>
  <c r="I19" i="1"/>
  <c r="I18" i="1"/>
  <c r="I17" i="1"/>
  <c r="I16" i="1"/>
  <c r="I15" i="1"/>
  <c r="I14" i="1"/>
  <c r="I13" i="1"/>
  <c r="I12" i="1"/>
  <c r="I11" i="1"/>
  <c r="I10" i="1"/>
  <c r="M10" i="1" s="1"/>
  <c r="I9" i="1"/>
  <c r="I8" i="1"/>
  <c r="I7" i="1"/>
  <c r="I6" i="1"/>
  <c r="I5" i="1"/>
  <c r="I4" i="1"/>
  <c r="H5" i="1"/>
  <c r="M5" i="1" s="1"/>
  <c r="H6" i="1"/>
  <c r="M6" i="1" s="1"/>
  <c r="H7" i="1"/>
  <c r="M7" i="1" s="1"/>
  <c r="H8" i="1"/>
  <c r="M8" i="1" s="1"/>
  <c r="H9" i="1"/>
  <c r="M9" i="1" s="1"/>
  <c r="H10" i="1"/>
  <c r="H11" i="1"/>
  <c r="H12" i="1"/>
  <c r="H13" i="1"/>
  <c r="H14" i="1"/>
  <c r="M14" i="1" s="1"/>
  <c r="H15" i="1"/>
  <c r="M15" i="1" s="1"/>
  <c r="H16" i="1"/>
  <c r="M16" i="1" s="1"/>
  <c r="H17" i="1"/>
  <c r="M17" i="1" s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<sst xmlns="http://schemas.openxmlformats.org/spreadsheetml/2006/main" count="50" uniqueCount="46">
  <si>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</si>
  <si>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Last Nanes</t>
  </si>
  <si>
    <t>First Name</t>
  </si>
  <si>
    <t>Kens</t>
  </si>
  <si>
    <t>Jon</t>
  </si>
  <si>
    <t>Howald</t>
  </si>
  <si>
    <t>Glenda</t>
  </si>
  <si>
    <t xml:space="preserve">O,Donald </t>
  </si>
  <si>
    <t>Ron</t>
  </si>
  <si>
    <t xml:space="preserve">Henandez </t>
  </si>
  <si>
    <t>Wendy</t>
  </si>
  <si>
    <t xml:space="preserve">Smith </t>
  </si>
  <si>
    <t>Paul</t>
  </si>
  <si>
    <t>Baker</t>
  </si>
  <si>
    <t>Tom</t>
  </si>
  <si>
    <t>Velinda</t>
  </si>
  <si>
    <t>Nancy</t>
  </si>
  <si>
    <t>Camehen</t>
  </si>
  <si>
    <t>Karen</t>
  </si>
  <si>
    <t xml:space="preserve">Westerfield </t>
  </si>
  <si>
    <t>Denis</t>
  </si>
  <si>
    <t>Penfold</t>
  </si>
  <si>
    <t>Sandy</t>
  </si>
  <si>
    <t xml:space="preserve">Harighton </t>
  </si>
  <si>
    <t>Linda</t>
  </si>
  <si>
    <t xml:space="preserve">Young </t>
  </si>
  <si>
    <t>Olivia</t>
  </si>
  <si>
    <t xml:space="preserve">Trenton </t>
  </si>
  <si>
    <t>Blessing</t>
  </si>
  <si>
    <t>Engeheart</t>
  </si>
  <si>
    <t>Chandra</t>
  </si>
  <si>
    <t>Norman</t>
  </si>
  <si>
    <t>Bill</t>
  </si>
  <si>
    <t>Mann</t>
  </si>
  <si>
    <t>Trent</t>
  </si>
  <si>
    <t>Underhill</t>
  </si>
  <si>
    <t>Genesis</t>
  </si>
  <si>
    <t>Safety Test</t>
  </si>
  <si>
    <t>Company test</t>
  </si>
  <si>
    <t>Financial Test</t>
  </si>
  <si>
    <t>Drug Test</t>
  </si>
  <si>
    <t>Points Possible</t>
  </si>
  <si>
    <t>Fire Employee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</si>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</sst>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textRotation="90"/>
    </xf>
    <xf numFmtId="9" fontId="0" fillId="0" borderId="0" xfId="1" applyFont="1"/>
    <xf numFmtId="170" fontId="2" fillId="0" borderId="0" xfId="0" applyNumberFormat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Kens</c:v>
                </c:pt>
                <c:pt idx="1">
                  <c:v>Howald</c:v>
                </c:pt>
                <c:pt idx="2">
                  <c:v>O,Donald </c:v>
                </c:pt>
                <c:pt idx="3">
                  <c:v>Henandez 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Camehen</c:v>
                </c:pt>
                <c:pt idx="8">
                  <c:v>Westerfield </c:v>
                </c:pt>
                <c:pt idx="9">
                  <c:v>Penfold</c:v>
                </c:pt>
                <c:pt idx="10">
                  <c:v>Harighton </c:v>
                </c:pt>
                <c:pt idx="11">
                  <c:v>Young </c:v>
                </c:pt>
                <c:pt idx="12">
                  <c:v>Trenton </c:v>
                </c:pt>
                <c:pt idx="13">
                  <c:v>Engeheart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B-4E4E-99E6-9922B1AA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483200"/>
        <c:axId val="968479456"/>
      </c:barChart>
      <c:catAx>
        <c:axId val="9684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79456"/>
        <c:crosses val="autoZero"/>
        <c:auto val="1"/>
        <c:lblAlgn val="ctr"/>
        <c:lblOffset val="100"/>
        <c:noMultiLvlLbl val="0"/>
      </c:catAx>
      <c:valAx>
        <c:axId val="9684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8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Kens</c:v>
                </c:pt>
                <c:pt idx="1">
                  <c:v>Howald</c:v>
                </c:pt>
                <c:pt idx="2">
                  <c:v>O,Donald </c:v>
                </c:pt>
                <c:pt idx="3">
                  <c:v>Henandez 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Camehen</c:v>
                </c:pt>
                <c:pt idx="8">
                  <c:v>Westerfield </c:v>
                </c:pt>
                <c:pt idx="9">
                  <c:v>Penfold</c:v>
                </c:pt>
                <c:pt idx="10">
                  <c:v>Harighton </c:v>
                </c:pt>
                <c:pt idx="11">
                  <c:v>Young </c:v>
                </c:pt>
                <c:pt idx="12">
                  <c:v>Trenton </c:v>
                </c:pt>
                <c:pt idx="13">
                  <c:v>Engeheart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8-4372-886A-6819FFD21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287248"/>
        <c:axId val="919305136"/>
      </c:barChart>
      <c:catAx>
        <c:axId val="91928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05136"/>
        <c:crosses val="autoZero"/>
        <c:auto val="1"/>
        <c:lblAlgn val="ctr"/>
        <c:lblOffset val="100"/>
        <c:noMultiLvlLbl val="0"/>
      </c:catAx>
      <c:valAx>
        <c:axId val="9193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Kens</c:v>
                </c:pt>
                <c:pt idx="1">
                  <c:v>Howald</c:v>
                </c:pt>
                <c:pt idx="2">
                  <c:v>O,Donald </c:v>
                </c:pt>
                <c:pt idx="3">
                  <c:v>Henandez 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Camehen</c:v>
                </c:pt>
                <c:pt idx="8">
                  <c:v>Westerfield </c:v>
                </c:pt>
                <c:pt idx="9">
                  <c:v>Penfold</c:v>
                </c:pt>
                <c:pt idx="10">
                  <c:v>Harighton </c:v>
                </c:pt>
                <c:pt idx="11">
                  <c:v>Young </c:v>
                </c:pt>
                <c:pt idx="12">
                  <c:v>Trenton </c:v>
                </c:pt>
                <c:pt idx="13">
                  <c:v>Engeheart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Sheet1!$E$4:$E$19</c:f>
              <c:numCache>
                <c:formatCode>General</c:formatCode>
                <c:ptCount val="16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3-494C-9537-B3C2956F8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591296"/>
        <c:axId val="793815296"/>
      </c:barChart>
      <c:catAx>
        <c:axId val="65559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15296"/>
        <c:crosses val="autoZero"/>
        <c:auto val="1"/>
        <c:lblAlgn val="ctr"/>
        <c:lblOffset val="100"/>
        <c:noMultiLvlLbl val="0"/>
      </c:catAx>
      <c:valAx>
        <c:axId val="7938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9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118534</xdr:colOff>
      <xdr:row>3</xdr:row>
      <xdr:rowOff>168909</xdr:rowOff>
    </xdr:from>
    <xdr:to>
      <xdr:col>21</xdr:col>
      <xdr:colOff>209973</xdr:colOff>
      <xdr:row>18</xdr:row>
      <xdr:rowOff>168909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A7ADC-DF73-41FD-A8E4-79B3C08A5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71967</xdr:colOff>
      <xdr:row>20</xdr:row>
      <xdr:rowOff>31750</xdr:rowOff>
    </xdr:from>
    <xdr:to>
      <xdr:col>21</xdr:col>
      <xdr:colOff>169333</xdr:colOff>
      <xdr:row>35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FA9A0-BCE5-4A38-853E-9DC9CE2D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76201</xdr:colOff>
      <xdr:row>36</xdr:row>
      <xdr:rowOff>82550</xdr:rowOff>
    </xdr:from>
    <xdr:to>
      <xdr:col>21</xdr:col>
      <xdr:colOff>173567</xdr:colOff>
      <xdr:row>51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D1FEF4-D853-4947-9E78-B967C1C4D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3308-6532-4BC8-B60B-050F6F5F65D4}">
  <dimension ref="A1:M25"/>
  <sheetViews>
    <sheetView tabSelected="1" zoomScale="90" zoomScaleNormal="90" workbookViewId="0">
      <selection activeCell="E4" sqref="E4:E19"/>
    </sheetView>
  </sheetViews>
  <sheetFormatPr defaultRowHeight="14.4" x14ac:dyDescent="0.55000000000000004"/>
  <cols>
    <col min="1" max="1" width="11.7890625" customWidth="1"/>
    <col min="2" max="2" width="13.3125" customWidth="1"/>
    <col min="3" max="3" width="10.3125" customWidth="1"/>
    <col min="4" max="4" width="14" customWidth="1"/>
    <col min="5" max="5" width="14.15625" customWidth="1"/>
  </cols>
  <sheetData>
    <row r="1" spans="1:13" ht="69.900000000000006" x14ac:dyDescent="0.7">
      <c r="A1" s="1" t="s">
        <v>0</v>
      </c>
      <c r="C1" s="3" t="s">
        <v>37</v>
      </c>
      <c r="D1" s="3" t="s">
        <v>38</v>
      </c>
      <c r="E1" s="3" t="s">
        <v>39</v>
      </c>
      <c r="F1" s="3" t="s">
        <v>40</v>
      </c>
      <c r="H1" s="3" t="s">
        <v>37</v>
      </c>
      <c r="I1" s="3" t="s">
        <v>38</v>
      </c>
      <c r="J1" s="3" t="s">
        <v>39</v>
      </c>
      <c r="K1" s="3" t="s">
        <v>40</v>
      </c>
      <c r="M1" s="3" t="s">
        <v>42</v>
      </c>
    </row>
    <row r="2" spans="1:13" x14ac:dyDescent="0.55000000000000004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55000000000000004">
      <c r="A3" s="2" t="s">
        <v>1</v>
      </c>
      <c r="B3" s="2" t="s">
        <v>2</v>
      </c>
    </row>
    <row r="4" spans="1:13" x14ac:dyDescent="0.55000000000000004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4">
        <f>C4/C$2</f>
        <v>1</v>
      </c>
      <c r="I4" s="4">
        <f>D4/D$2</f>
        <v>0.95</v>
      </c>
      <c r="J4" s="4">
        <f t="shared" ref="J4:K19" si="0">E4/E$2</f>
        <v>0.93</v>
      </c>
      <c r="K4" s="4">
        <f t="shared" si="0"/>
        <v>1</v>
      </c>
      <c r="M4" s="4" t="b">
        <f>OR(H4&lt;0.5,I4&lt;0.5,J4&lt;0.5,K4&lt;0.5)</f>
        <v>0</v>
      </c>
    </row>
    <row r="5" spans="1:13" x14ac:dyDescent="0.55000000000000004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4">
        <f t="shared" ref="H5:I20" si="1">C5/C$2</f>
        <v>0.9</v>
      </c>
      <c r="I5" s="4">
        <f t="shared" si="1"/>
        <v>1</v>
      </c>
      <c r="J5" s="4">
        <f t="shared" si="0"/>
        <v>1</v>
      </c>
      <c r="K5" s="4">
        <f t="shared" si="0"/>
        <v>1</v>
      </c>
      <c r="M5" s="4" t="b">
        <f t="shared" ref="M5:M20" si="2">OR(H5&lt;0.5,I5&lt;0.5,J5&lt;0.5,K5&lt;0.5)</f>
        <v>0</v>
      </c>
    </row>
    <row r="6" spans="1:13" x14ac:dyDescent="0.55000000000000004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4">
        <f t="shared" si="1"/>
        <v>0.8</v>
      </c>
      <c r="I6" s="4">
        <f t="shared" si="1"/>
        <v>0.85</v>
      </c>
      <c r="J6" s="4">
        <f t="shared" si="0"/>
        <v>0.82</v>
      </c>
      <c r="K6" s="4">
        <f t="shared" si="0"/>
        <v>1</v>
      </c>
      <c r="M6" s="4" t="b">
        <f t="shared" si="2"/>
        <v>0</v>
      </c>
    </row>
    <row r="7" spans="1:13" x14ac:dyDescent="0.55000000000000004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4">
        <f t="shared" si="1"/>
        <v>0.9</v>
      </c>
      <c r="I7" s="4">
        <f t="shared" si="1"/>
        <v>0.5</v>
      </c>
      <c r="J7" s="4">
        <f t="shared" si="0"/>
        <v>0.73</v>
      </c>
      <c r="K7" s="4">
        <f t="shared" si="0"/>
        <v>1</v>
      </c>
      <c r="M7" s="4" t="b">
        <f t="shared" si="2"/>
        <v>0</v>
      </c>
    </row>
    <row r="8" spans="1:13" x14ac:dyDescent="0.55000000000000004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4">
        <f t="shared" si="1"/>
        <v>1</v>
      </c>
      <c r="I8" s="4">
        <f t="shared" si="1"/>
        <v>1</v>
      </c>
      <c r="J8" s="4">
        <f t="shared" si="0"/>
        <v>0.59</v>
      </c>
      <c r="K8" s="4">
        <f t="shared" si="0"/>
        <v>1</v>
      </c>
      <c r="M8" s="4" t="b">
        <f t="shared" si="2"/>
        <v>0</v>
      </c>
    </row>
    <row r="9" spans="1:13" x14ac:dyDescent="0.55000000000000004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4">
        <f t="shared" si="1"/>
        <v>0.9</v>
      </c>
      <c r="I9" s="4">
        <f t="shared" si="1"/>
        <v>0.85</v>
      </c>
      <c r="J9" s="4">
        <f t="shared" si="0"/>
        <v>1</v>
      </c>
      <c r="K9" s="4">
        <f t="shared" si="0"/>
        <v>1</v>
      </c>
      <c r="M9" s="4" t="b">
        <f t="shared" si="2"/>
        <v>0</v>
      </c>
    </row>
    <row r="10" spans="1:13" x14ac:dyDescent="0.55000000000000004">
      <c r="A10" t="s">
        <v>15</v>
      </c>
      <c r="B10" t="s">
        <v>16</v>
      </c>
      <c r="C10">
        <v>8</v>
      </c>
      <c r="D10">
        <v>20</v>
      </c>
      <c r="E10">
        <v>100</v>
      </c>
      <c r="F10">
        <v>0</v>
      </c>
      <c r="H10" s="4">
        <f t="shared" si="1"/>
        <v>0.8</v>
      </c>
      <c r="I10" s="4">
        <f t="shared" si="1"/>
        <v>1</v>
      </c>
      <c r="J10" s="4">
        <f t="shared" si="0"/>
        <v>1</v>
      </c>
      <c r="K10" s="4">
        <f>F10/F$2</f>
        <v>0</v>
      </c>
      <c r="M10" s="4" t="b">
        <f>OR(H10&lt;0.5,I10&lt;0.5,J10&lt;0.5,K10&lt;0.5)</f>
        <v>1</v>
      </c>
    </row>
    <row r="11" spans="1:13" x14ac:dyDescent="0.55000000000000004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4">
        <f t="shared" si="1"/>
        <v>0.5</v>
      </c>
      <c r="I11" s="4">
        <f t="shared" si="1"/>
        <v>0.3</v>
      </c>
      <c r="J11" s="4">
        <f t="shared" si="0"/>
        <v>1</v>
      </c>
      <c r="K11" s="4">
        <f t="shared" si="0"/>
        <v>1</v>
      </c>
      <c r="M11" s="4" t="b">
        <f t="shared" si="2"/>
        <v>1</v>
      </c>
    </row>
    <row r="12" spans="1:13" x14ac:dyDescent="0.55000000000000004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4">
        <f t="shared" si="1"/>
        <v>1</v>
      </c>
      <c r="I12" s="4">
        <f t="shared" si="1"/>
        <v>1</v>
      </c>
      <c r="J12" s="4">
        <f t="shared" si="0"/>
        <v>0.67</v>
      </c>
      <c r="K12" s="4">
        <f t="shared" si="0"/>
        <v>1</v>
      </c>
      <c r="M12" s="4" t="b">
        <f t="shared" si="2"/>
        <v>0</v>
      </c>
    </row>
    <row r="13" spans="1:13" x14ac:dyDescent="0.55000000000000004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4">
        <f t="shared" si="1"/>
        <v>0.9</v>
      </c>
      <c r="I13" s="4">
        <f t="shared" si="1"/>
        <v>1</v>
      </c>
      <c r="J13" s="4">
        <f t="shared" si="0"/>
        <v>0.7</v>
      </c>
      <c r="K13" s="4">
        <f t="shared" si="0"/>
        <v>1</v>
      </c>
      <c r="M13" s="4" t="b">
        <f t="shared" si="2"/>
        <v>0</v>
      </c>
    </row>
    <row r="14" spans="1:13" x14ac:dyDescent="0.55000000000000004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4">
        <f t="shared" si="1"/>
        <v>1</v>
      </c>
      <c r="I14" s="4">
        <f t="shared" si="1"/>
        <v>0.95</v>
      </c>
      <c r="J14" s="4">
        <f t="shared" si="0"/>
        <v>0.8</v>
      </c>
      <c r="K14" s="4">
        <f t="shared" si="0"/>
        <v>1</v>
      </c>
      <c r="M14" s="4" t="b">
        <f t="shared" si="2"/>
        <v>0</v>
      </c>
    </row>
    <row r="15" spans="1:13" x14ac:dyDescent="0.55000000000000004">
      <c r="A15" t="s">
        <v>25</v>
      </c>
      <c r="B15" t="s">
        <v>26</v>
      </c>
      <c r="C15">
        <v>8</v>
      </c>
      <c r="D15">
        <v>17</v>
      </c>
      <c r="E15">
        <v>90</v>
      </c>
      <c r="F15">
        <v>1</v>
      </c>
      <c r="H15" s="4">
        <f t="shared" si="1"/>
        <v>0.8</v>
      </c>
      <c r="I15" s="4">
        <f t="shared" si="1"/>
        <v>0.85</v>
      </c>
      <c r="J15" s="4">
        <f t="shared" si="0"/>
        <v>0.9</v>
      </c>
      <c r="K15" s="4">
        <f t="shared" si="0"/>
        <v>1</v>
      </c>
      <c r="M15" s="4" t="b">
        <f t="shared" si="2"/>
        <v>0</v>
      </c>
    </row>
    <row r="16" spans="1:13" x14ac:dyDescent="0.55000000000000004">
      <c r="A16" t="s">
        <v>27</v>
      </c>
      <c r="B16" t="s">
        <v>28</v>
      </c>
      <c r="C16">
        <v>9</v>
      </c>
      <c r="D16">
        <v>19</v>
      </c>
      <c r="E16">
        <v>45</v>
      </c>
      <c r="F16">
        <v>0</v>
      </c>
      <c r="H16" s="4">
        <f t="shared" si="1"/>
        <v>0.9</v>
      </c>
      <c r="I16" s="4">
        <f t="shared" si="1"/>
        <v>0.95</v>
      </c>
      <c r="J16" s="4">
        <f t="shared" si="0"/>
        <v>0.45</v>
      </c>
      <c r="K16" s="4">
        <f t="shared" si="0"/>
        <v>0</v>
      </c>
      <c r="M16" s="4" t="b">
        <f t="shared" si="2"/>
        <v>1</v>
      </c>
    </row>
    <row r="17" spans="1:13" x14ac:dyDescent="0.55000000000000004">
      <c r="A17" t="s">
        <v>29</v>
      </c>
      <c r="B17" t="s">
        <v>30</v>
      </c>
      <c r="C17">
        <v>7</v>
      </c>
      <c r="D17">
        <v>20</v>
      </c>
      <c r="E17">
        <v>90</v>
      </c>
      <c r="F17">
        <v>1</v>
      </c>
      <c r="H17" s="4">
        <f t="shared" si="1"/>
        <v>0.7</v>
      </c>
      <c r="I17" s="4">
        <f t="shared" si="1"/>
        <v>1</v>
      </c>
      <c r="J17" s="4">
        <f t="shared" si="0"/>
        <v>0.9</v>
      </c>
      <c r="K17" s="4">
        <f t="shared" si="0"/>
        <v>1</v>
      </c>
      <c r="M17" s="4" t="b">
        <f t="shared" si="2"/>
        <v>0</v>
      </c>
    </row>
    <row r="18" spans="1:13" x14ac:dyDescent="0.55000000000000004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4">
        <f t="shared" si="1"/>
        <v>1</v>
      </c>
      <c r="I18" s="4">
        <f t="shared" si="1"/>
        <v>0.5</v>
      </c>
      <c r="J18" s="4">
        <f t="shared" si="0"/>
        <v>0.8</v>
      </c>
      <c r="K18" s="4">
        <f t="shared" si="0"/>
        <v>1</v>
      </c>
      <c r="M18" s="4" t="b">
        <f t="shared" si="2"/>
        <v>0</v>
      </c>
    </row>
    <row r="19" spans="1:13" x14ac:dyDescent="0.55000000000000004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4">
        <f t="shared" si="1"/>
        <v>1.1000000000000001</v>
      </c>
      <c r="I19" s="4">
        <f t="shared" si="1"/>
        <v>1</v>
      </c>
      <c r="J19" s="4">
        <f t="shared" si="0"/>
        <v>0.69</v>
      </c>
      <c r="K19" s="4">
        <f t="shared" si="0"/>
        <v>1</v>
      </c>
      <c r="M19" s="4" t="b">
        <f t="shared" si="2"/>
        <v>0</v>
      </c>
    </row>
    <row r="20" spans="1:13" x14ac:dyDescent="0.55000000000000004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4">
        <f t="shared" si="1"/>
        <v>1</v>
      </c>
      <c r="I20" s="4">
        <f t="shared" si="1"/>
        <v>0.7</v>
      </c>
      <c r="J20" s="4">
        <f t="shared" ref="J20" si="3">E20/E$2</f>
        <v>0.9</v>
      </c>
      <c r="K20" s="4">
        <f t="shared" ref="K20" si="4">F20/F$2</f>
        <v>1</v>
      </c>
      <c r="M20" s="4" t="b">
        <f t="shared" si="2"/>
        <v>0</v>
      </c>
    </row>
    <row r="22" spans="1:13" x14ac:dyDescent="0.55000000000000004">
      <c r="A22" s="2" t="s">
        <v>43</v>
      </c>
      <c r="C22" s="2">
        <f>MAX(C4:C20)</f>
        <v>11</v>
      </c>
      <c r="D22" s="2">
        <f t="shared" ref="D22:F22" si="5">MAX(D4:D20)</f>
        <v>20</v>
      </c>
      <c r="E22" s="2">
        <f t="shared" si="5"/>
        <v>100</v>
      </c>
      <c r="F22" s="2">
        <f t="shared" si="5"/>
        <v>1</v>
      </c>
    </row>
    <row r="23" spans="1:13" x14ac:dyDescent="0.55000000000000004">
      <c r="A23" s="2" t="s">
        <v>44</v>
      </c>
      <c r="C23" s="2">
        <f>MIN(C4:C20)</f>
        <v>5</v>
      </c>
      <c r="D23" s="2">
        <f t="shared" ref="D23:F23" si="6">MIN(D4:D20)</f>
        <v>6</v>
      </c>
      <c r="E23" s="2">
        <f t="shared" si="6"/>
        <v>45</v>
      </c>
      <c r="F23" s="2">
        <f t="shared" si="6"/>
        <v>0</v>
      </c>
    </row>
    <row r="24" spans="1:13" x14ac:dyDescent="0.55000000000000004">
      <c r="A24" s="2" t="s">
        <v>45</v>
      </c>
      <c r="C24" s="5">
        <f>AVERAGE(C4:C20)</f>
        <v>8.9411764705882355</v>
      </c>
      <c r="D24" s="5">
        <f t="shared" ref="D24:F24" si="7">AVERAGE(D4:D20)</f>
        <v>16.941176470588236</v>
      </c>
      <c r="E24" s="5">
        <f t="shared" si="7"/>
        <v>81.647058823529406</v>
      </c>
      <c r="F24" s="5">
        <f t="shared" si="7"/>
        <v>0.88235294117647056</v>
      </c>
    </row>
    <row r="25" spans="1:13" x14ac:dyDescent="0.55000000000000004">
      <c r="C25" s="2"/>
      <c r="D25" s="2"/>
      <c r="E25" s="2"/>
      <c r="F25" s="2"/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3">
      <iconSet iconSet="4TrafficLights">
        <cfvo type="percent" val="0"/>
        <cfvo type="percent" val="25"/>
        <cfvo type="percent" val="50"/>
        <cfvo type="percent" val="75"/>
      </iconSet>
    </cfRule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F4:F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Atabong Noel</dc:creator>
  <cp:lastModifiedBy>Atabong Noel</cp:lastModifiedBy>
  <cp:lastPrinted>2026-05-13T11:10:53Z</cp:lastPrinted>
  <dcterms:created xsi:type="dcterms:W3CDTF">2026-05-13T10:32:18Z</dcterms:created>
  <dcterms:modified xsi:type="dcterms:W3CDTF">2026-05-13T11:11:15Z</dcterms:modified>
</cp:coreProperties>
</file>